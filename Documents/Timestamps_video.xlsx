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dy/Video_HMM/Documents/"/>
    </mc:Choice>
  </mc:AlternateContent>
  <xr:revisionPtr revIDLastSave="0" documentId="13_ncr:1_{0B218AF2-7344-E14E-993D-6B1E8C7C27F0}" xr6:coauthVersionLast="47" xr6:coauthVersionMax="47" xr10:uidLastSave="{00000000-0000-0000-0000-000000000000}"/>
  <bookViews>
    <workbookView xWindow="3300" yWindow="16780" windowWidth="28040" windowHeight="16940" xr2:uid="{B78C5E59-0D08-964B-90AA-CF6439403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4" i="1"/>
  <c r="J3" i="1"/>
  <c r="H15" i="1"/>
  <c r="H27" i="1" s="1"/>
  <c r="H5" i="1"/>
  <c r="H6" i="1"/>
  <c r="H7" i="1"/>
  <c r="H9" i="1"/>
  <c r="H10" i="1"/>
  <c r="H11" i="1"/>
  <c r="H12" i="1"/>
  <c r="H3" i="1"/>
  <c r="J4" i="1" l="1"/>
  <c r="J5" i="1" s="1"/>
  <c r="J6" i="1" s="1"/>
  <c r="J7" i="1" s="1"/>
  <c r="J9" i="1" s="1"/>
  <c r="J10" i="1" s="1"/>
  <c r="J11" i="1" s="1"/>
  <c r="J12" i="1" s="1"/>
  <c r="J14" i="1" s="1"/>
</calcChain>
</file>

<file path=xl/sharedStrings.xml><?xml version="1.0" encoding="utf-8"?>
<sst xmlns="http://schemas.openxmlformats.org/spreadsheetml/2006/main" count="43" uniqueCount="39">
  <si>
    <t>Seg. # </t>
  </si>
  <si>
    <t>Link</t>
  </si>
  <si>
    <t>Start</t>
  </si>
  <si>
    <t>Stop</t>
  </si>
  <si>
    <t>Target</t>
  </si>
  <si>
    <t>Emotion</t>
  </si>
  <si>
    <t>% of time target emotion occurred</t>
  </si>
  <si>
    <t>Seg. 1 </t>
  </si>
  <si>
    <t>http://www.youtube.com/watch?v=qXo3NFqkaRM</t>
  </si>
  <si>
    <t>- Happy</t>
  </si>
  <si>
    <t>Seg. 2 </t>
  </si>
  <si>
    <t>http://www.youtube.com/watch?v=wwAbtizFCzo</t>
  </si>
  <si>
    <t>Seg. 3 </t>
  </si>
  <si>
    <t>http://www.youtube.com/watch?v=1eH9YeZjGIQ&amp;feature=youtu.be</t>
  </si>
  <si>
    <t>- Surprise</t>
  </si>
  <si>
    <t>Seg. 4 </t>
  </si>
  <si>
    <t>http://www.youtube.com/watch?v=AYsq4fqbMG8</t>
  </si>
  <si>
    <t>- Fear</t>
  </si>
  <si>
    <t>Seg. 5 </t>
  </si>
  <si>
    <t>http://www.youtube.com/watch?v=QuB3kr3ckYE</t>
  </si>
  <si>
    <t>- Disgust</t>
  </si>
  <si>
    <t>Seg. 6 </t>
  </si>
  <si>
    <t>http://www.youtube.com/watch?v=2NEzyvuzs1I&amp;feature=youtu.be</t>
  </si>
  <si>
    <t>Seg. 7 </t>
  </si>
  <si>
    <t>http://www.youtube.com/watch?v=DtiSRaB9Sk8&amp;feature=related</t>
  </si>
  <si>
    <t>- Sadness</t>
  </si>
  <si>
    <t>Seg. 8 </t>
  </si>
  <si>
    <t>http://www.youtube.com/watch?v=6PLS7HXo8Bc&amp;feature=plcp</t>
  </si>
  <si>
    <t>Seg. 9 </t>
  </si>
  <si>
    <t>http://www.youtube.com/watch?v=rW29Ex1k2Yc</t>
  </si>
  <si>
    <t> 1:34</t>
  </si>
  <si>
    <t>Length</t>
  </si>
  <si>
    <t> 3:00</t>
  </si>
  <si>
    <t>Sum</t>
  </si>
  <si>
    <t>seconds total incl gaps</t>
  </si>
  <si>
    <t>gaps</t>
  </si>
  <si>
    <t>length of each gap</t>
  </si>
  <si>
    <t>Timestamp of beginning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</si>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</sst>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Aptos Narrow"/>
      <family val="2"/>
      <scheme val="minor"/>
    </font>
    <font>
      <sz val="7.95"/>
      <color rgb="FF000000"/>
      <name val="Arial"/>
      <family val="2"/>
    </font>
    <font>
      <b/>
      <sz val="7.9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0" fontId="0" fillId="0" borderId="0" xfId="0" applyNumberFormat="1"/>
    <xf numFmtId="20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0962-827B-AF4A-9BBC-5955E95DADE1}">
  <dimension ref="A1:K31"/>
  <sheetViews>
    <sheetView tabSelected="1" topLeftCell="E1" zoomScale="113" workbookViewId="0">
      <selection activeCell="L19" sqref="L19"/>
    </sheetView>
  </sheetViews>
  <sheetFormatPr baseColWidth="10" defaultRowHeight="16" x14ac:dyDescent="0.2"/>
  <cols>
    <col min="7" max="7" width="22.5" customWidth="1"/>
  </cols>
  <sheetData>
    <row r="1" spans="1:10" x14ac:dyDescent="0.2">
      <c r="A1" s="7" t="s">
        <v>0</v>
      </c>
      <c r="B1" s="9" t="s">
        <v>1</v>
      </c>
      <c r="C1" s="9" t="s">
        <v>2</v>
      </c>
      <c r="D1" s="9" t="s">
        <v>3</v>
      </c>
      <c r="E1" s="2" t="s">
        <v>4</v>
      </c>
      <c r="F1" s="9" t="s">
        <v>6</v>
      </c>
    </row>
    <row r="2" spans="1:10" x14ac:dyDescent="0.2">
      <c r="A2" s="7"/>
      <c r="B2" s="9"/>
      <c r="C2" s="9"/>
      <c r="D2" s="9"/>
      <c r="E2" s="2" t="s">
        <v>5</v>
      </c>
      <c r="F2" s="9"/>
      <c r="H2" t="s">
        <v>31</v>
      </c>
      <c r="J2" t="s">
        <v>37</v>
      </c>
    </row>
    <row r="3" spans="1:10" x14ac:dyDescent="0.2">
      <c r="A3" s="1" t="s">
        <v>7</v>
      </c>
      <c r="B3" s="1" t="s">
        <v>8</v>
      </c>
      <c r="C3" s="4">
        <v>6.2500000000000003E-3</v>
      </c>
      <c r="D3" s="4">
        <v>1.3888888888888888E-2</v>
      </c>
      <c r="E3" s="1" t="s">
        <v>9</v>
      </c>
      <c r="F3" s="5">
        <v>0.67300000000000004</v>
      </c>
      <c r="H3" s="3">
        <f>D3-C3</f>
        <v>7.6388888888888878E-3</v>
      </c>
      <c r="J3">
        <f>0</f>
        <v>0</v>
      </c>
    </row>
    <row r="4" spans="1:10" x14ac:dyDescent="0.2">
      <c r="A4" s="1" t="s">
        <v>10</v>
      </c>
      <c r="B4" s="1" t="s">
        <v>11</v>
      </c>
      <c r="C4" s="4">
        <v>4.1666666666666664E-2</v>
      </c>
      <c r="D4" s="4">
        <v>5.6944444444444443E-2</v>
      </c>
      <c r="E4" s="1" t="s">
        <v>9</v>
      </c>
      <c r="F4" s="5">
        <v>0.52800000000000002</v>
      </c>
      <c r="H4" s="3">
        <f>D4-C4</f>
        <v>1.5277777777777779E-2</v>
      </c>
      <c r="J4" s="3">
        <f>J3+H3+$H$27</f>
        <v>1.0416666666666666E-2</v>
      </c>
    </row>
    <row r="5" spans="1:10" x14ac:dyDescent="0.2">
      <c r="A5" s="1" t="s">
        <v>12</v>
      </c>
      <c r="B5" s="1" t="s">
        <v>13</v>
      </c>
      <c r="C5" s="4">
        <v>1.3194444444444444E-2</v>
      </c>
      <c r="D5" s="4">
        <v>2.4305555555555556E-2</v>
      </c>
      <c r="E5" s="1" t="s">
        <v>14</v>
      </c>
      <c r="F5" s="5">
        <v>9.1999999999999998E-2</v>
      </c>
      <c r="H5" s="3">
        <f t="shared" ref="H5:H12" si="0">D5-C5</f>
        <v>1.1111111111111112E-2</v>
      </c>
      <c r="J5" s="3">
        <f>J4+H4+$H$27</f>
        <v>2.8472222222222222E-2</v>
      </c>
    </row>
    <row r="6" spans="1:10" x14ac:dyDescent="0.2">
      <c r="A6" s="1" t="s">
        <v>15</v>
      </c>
      <c r="B6" s="1" t="s">
        <v>16</v>
      </c>
      <c r="C6" s="4">
        <v>3.3333333333333333E-2</v>
      </c>
      <c r="D6" s="4">
        <v>3.8194444444444448E-2</v>
      </c>
      <c r="E6" s="1" t="s">
        <v>17</v>
      </c>
      <c r="F6" s="5">
        <v>6.3E-2</v>
      </c>
      <c r="H6" s="3">
        <f t="shared" si="0"/>
        <v>4.8611111111111147E-3</v>
      </c>
      <c r="J6" s="3">
        <f>J5+H5+$H$27</f>
        <v>4.2361111111111113E-2</v>
      </c>
    </row>
    <row r="7" spans="1:10" x14ac:dyDescent="0.2">
      <c r="A7" s="7" t="s">
        <v>18</v>
      </c>
      <c r="B7" s="7" t="s">
        <v>19</v>
      </c>
      <c r="C7" s="4">
        <v>1.2500000000000001E-2</v>
      </c>
      <c r="D7" s="4">
        <v>1.4583333333333334E-2</v>
      </c>
      <c r="E7" s="7" t="s">
        <v>20</v>
      </c>
      <c r="F7" s="8">
        <v>0.23599999999999999</v>
      </c>
      <c r="H7" s="3">
        <f t="shared" si="0"/>
        <v>2.0833333333333329E-3</v>
      </c>
      <c r="J7" s="3">
        <f>J6+H6+$H$27</f>
        <v>0.05</v>
      </c>
    </row>
    <row r="8" spans="1:10" x14ac:dyDescent="0.2">
      <c r="A8" s="7"/>
      <c r="B8" s="7"/>
      <c r="C8" s="4">
        <v>8.9583333333333334E-2</v>
      </c>
      <c r="D8" s="6" t="s">
        <v>32</v>
      </c>
      <c r="E8" s="7"/>
      <c r="F8" s="8"/>
      <c r="H8" s="3">
        <v>3.5416666666666666E-2</v>
      </c>
      <c r="J8" s="3"/>
    </row>
    <row r="9" spans="1:10" x14ac:dyDescent="0.2">
      <c r="A9" s="1" t="s">
        <v>21</v>
      </c>
      <c r="B9" s="1" t="s">
        <v>22</v>
      </c>
      <c r="C9" s="4">
        <v>5.5555555555555558E-3</v>
      </c>
      <c r="D9" s="4">
        <v>1.3888888888888888E-2</v>
      </c>
      <c r="E9" s="1" t="s">
        <v>20</v>
      </c>
      <c r="F9" s="5">
        <v>5.5E-2</v>
      </c>
      <c r="H9" s="3">
        <f t="shared" si="0"/>
        <v>8.3333333333333315E-3</v>
      </c>
      <c r="J9" s="3">
        <f>J7+H7+H8+$H$27</f>
        <v>9.0277777777777776E-2</v>
      </c>
    </row>
    <row r="10" spans="1:10" x14ac:dyDescent="0.2">
      <c r="A10" s="1" t="s">
        <v>23</v>
      </c>
      <c r="B10" s="1" t="s">
        <v>24</v>
      </c>
      <c r="C10" s="4">
        <v>5.9027777777777776E-2</v>
      </c>
      <c r="D10" s="4">
        <v>8.2638888888888887E-2</v>
      </c>
      <c r="E10" s="1" t="s">
        <v>25</v>
      </c>
      <c r="F10" s="5">
        <v>5.0999999999999997E-2</v>
      </c>
      <c r="H10" s="3">
        <f t="shared" si="0"/>
        <v>2.361111111111111E-2</v>
      </c>
      <c r="J10" s="3">
        <f>J9+H9+$H$27</f>
        <v>0.10138888888888889</v>
      </c>
    </row>
    <row r="11" spans="1:10" x14ac:dyDescent="0.2">
      <c r="A11" s="1" t="s">
        <v>26</v>
      </c>
      <c r="B11" s="1" t="s">
        <v>27</v>
      </c>
      <c r="C11" s="4">
        <v>0</v>
      </c>
      <c r="D11" s="4">
        <v>2.2916666666666665E-2</v>
      </c>
      <c r="E11" s="1" t="s">
        <v>25</v>
      </c>
      <c r="F11" s="5">
        <v>1.2E-2</v>
      </c>
      <c r="H11" s="3">
        <f t="shared" si="0"/>
        <v>2.2916666666666665E-2</v>
      </c>
      <c r="J11" s="3">
        <f t="shared" ref="J11" si="1">J10+H10+$H$27</f>
        <v>0.12777777777777777</v>
      </c>
    </row>
    <row r="12" spans="1:10" x14ac:dyDescent="0.2">
      <c r="A12" s="7" t="s">
        <v>28</v>
      </c>
      <c r="B12" s="7" t="s">
        <v>29</v>
      </c>
      <c r="C12" s="4">
        <v>0</v>
      </c>
      <c r="D12" s="4">
        <v>1.0416666666666666E-2</v>
      </c>
      <c r="E12" s="7" t="s">
        <v>14</v>
      </c>
      <c r="F12" s="8">
        <v>0.11700000000000001</v>
      </c>
      <c r="H12" s="3">
        <f t="shared" si="0"/>
        <v>1.0416666666666666E-2</v>
      </c>
      <c r="J12" s="3">
        <f>J11+H11+$H$27</f>
        <v>0.1534722222222222</v>
      </c>
    </row>
    <row r="13" spans="1:10" x14ac:dyDescent="0.2">
      <c r="A13" s="7"/>
      <c r="B13" s="7"/>
      <c r="C13" s="4">
        <v>4.7222222222222221E-2</v>
      </c>
      <c r="D13" s="1" t="s">
        <v>30</v>
      </c>
      <c r="E13" s="7"/>
      <c r="F13" s="8"/>
      <c r="H13" s="3">
        <v>1.8055555555555554E-2</v>
      </c>
      <c r="J13" s="3"/>
    </row>
    <row r="14" spans="1:10" x14ac:dyDescent="0.2">
      <c r="I14" t="s">
        <v>38</v>
      </c>
      <c r="J14" s="3">
        <f>J12+H12+H13</f>
        <v>0.18194444444444441</v>
      </c>
    </row>
    <row r="15" spans="1:10" x14ac:dyDescent="0.2">
      <c r="G15" t="s">
        <v>33</v>
      </c>
      <c r="H15" s="3">
        <f>SUM(H3:H13)</f>
        <v>0.15972222222222221</v>
      </c>
    </row>
    <row r="23" spans="3:11" x14ac:dyDescent="0.2">
      <c r="G23" t="s">
        <v>34</v>
      </c>
      <c r="H23">
        <v>261.60000000000002</v>
      </c>
      <c r="I23" s="3">
        <v>0.18194444444444444</v>
      </c>
    </row>
    <row r="25" spans="3:11" x14ac:dyDescent="0.2">
      <c r="G25" t="s">
        <v>35</v>
      </c>
      <c r="H25" s="3">
        <f>I23-H15</f>
        <v>2.2222222222222227E-2</v>
      </c>
    </row>
    <row r="27" spans="3:11" x14ac:dyDescent="0.2">
      <c r="G27" t="s">
        <v>36</v>
      </c>
      <c r="H27" s="3">
        <f>H25/8</f>
        <v>2.7777777777777783E-3</v>
      </c>
    </row>
    <row r="31" spans="3:11" x14ac:dyDescent="0.2">
      <c r="C31" s="3"/>
      <c r="D31" s="3"/>
      <c r="E31" s="3"/>
      <c r="F31" s="3"/>
      <c r="G31" s="3"/>
      <c r="H31" s="3"/>
      <c r="I31" s="3"/>
      <c r="J31" s="3"/>
      <c r="K31" s="3"/>
    </row>
  </sheetData>
  <mergeCells count="13">
    <mergeCell ref="A12:A13"/>
    <mergeCell ref="B12:B13"/>
    <mergeCell ref="E12:E13"/>
    <mergeCell ref="F12:F13"/>
    <mergeCell ref="A1:A2"/>
    <mergeCell ref="B1:B2"/>
    <mergeCell ref="C1:C2"/>
    <mergeCell ref="D1:D2"/>
    <mergeCell ref="F1:F2"/>
    <mergeCell ref="A7:A8"/>
    <mergeCell ref="B7:B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Xiaotian Li</dc:creator>
  <cp:lastModifiedBy>Judy Xiaotian Li</cp:lastModifiedBy>
  <dcterms:created xsi:type="dcterms:W3CDTF">2025-11-09T11:11:00Z</dcterms:created>
  <dcterms:modified xsi:type="dcterms:W3CDTF">2025-11-10T04:25:55Z</dcterms:modified>
</cp:coreProperties>
</file>